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manj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11" i="1" s="1"/>
  <c r="B9" i="1"/>
  <c r="D9" i="1"/>
  <c r="D10" i="1" l="1"/>
  <c r="D11" i="1"/>
  <c r="B12" i="1"/>
  <c r="D12" i="1" s="1"/>
  <c r="B13" i="1" l="1"/>
  <c r="D13" i="1" l="1"/>
</calcChain>
</file>

<file path=xl/sharedStrings.xml><?xml version="1.0" encoding="utf-8"?>
<sst xmlns="http://schemas.openxmlformats.org/spreadsheetml/2006/main" count="10" uniqueCount="10">
  <si>
    <t xml:space="preserve">Tax Brackets </t>
  </si>
  <si>
    <t>Tax Rate</t>
  </si>
  <si>
    <t>Tax Amount</t>
  </si>
  <si>
    <t>Income Tax Calculator</t>
  </si>
  <si>
    <t>&gt;1000000</t>
  </si>
  <si>
    <t>Tax %</t>
  </si>
  <si>
    <t>Tax Slab</t>
  </si>
  <si>
    <t>Your Income</t>
  </si>
  <si>
    <t>You Name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</si>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</sst>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9">
    <xf numFmtId="0" fontId="0" fillId="0" borderId="0" xfId="0"/>
    <xf numFmtId="0" fontId="3" fillId="0" borderId="0" xfId="0" applyFont="1"/>
    <xf numFmtId="0" fontId="3" fillId="3" borderId="0" xfId="0" applyFont="1" applyFill="1"/>
    <xf numFmtId="9" fontId="3" fillId="3" borderId="0" xfId="0" applyNumberFormat="1" applyFont="1" applyFill="1"/>
    <xf numFmtId="43" fontId="3" fillId="3" borderId="0" xfId="1" applyFont="1" applyFill="1"/>
    <xf numFmtId="43" fontId="3" fillId="0" borderId="0" xfId="1" applyFont="1"/>
    <xf numFmtId="43" fontId="4" fillId="3" borderId="1" xfId="2" applyNumberFormat="1" applyFont="1" applyFill="1"/>
    <xf numFmtId="43" fontId="3" fillId="3" borderId="0" xfId="0" applyNumberFormat="1" applyFont="1" applyFill="1"/>
    <xf numFmtId="43" fontId="5" fillId="3" borderId="0" xfId="0" applyNumberFormat="1" applyFont="1" applyFill="1"/>
  </cellXfs>
  <cellStyles count="3">
    <cellStyle name="Comma" xfId="1" builtinId="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Tax Brackets 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Sheet1!$B$9:$B$12</c:f>
              <c:numCache>
                <c:formatCode>_(* #,##0.00_);_(* \(#,##0.00\);_(* "-"??_);_(@_)</c:formatCode>
                <c:ptCount val="4"/>
                <c:pt idx="0">
                  <c:v>250000</c:v>
                </c:pt>
                <c:pt idx="1">
                  <c:v>250000</c:v>
                </c:pt>
                <c:pt idx="2">
                  <c:v>400000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Tax Amount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Sheet1!$D$9:$D$12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25000</c:v>
                </c:pt>
                <c:pt idx="2">
                  <c:v>80000</c:v>
                </c:pt>
                <c:pt idx="3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06065752"/>
        <c:axId val="406065360"/>
      </c:barChart>
      <c:catAx>
        <c:axId val="406065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6065360"/>
        <c:crosses val="autoZero"/>
        <c:auto val="1"/>
        <c:lblAlgn val="ctr"/>
        <c:lblOffset val="100"/>
        <c:noMultiLvlLbl val="0"/>
      </c:catAx>
      <c:valAx>
        <c:axId val="40606536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0606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4</xdr:row>
      <xdr:rowOff>19050</xdr:rowOff>
    </xdr:from>
    <xdr:to>
      <xdr:col>10</xdr:col>
      <xdr:colOff>495300</xdr:colOff>
      <xdr:row>14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workbookViewId="0">
      <selection activeCell="C6" sqref="C6"/>
    </sheetView>
  </sheetViews>
  <sheetFormatPr defaultRowHeight="15" x14ac:dyDescent="0.25"/>
  <cols>
    <col min="2" max="2" width="17.7109375" customWidth="1"/>
    <col min="3" max="3" width="17.140625" customWidth="1"/>
    <col min="4" max="4" width="18.5703125" customWidth="1"/>
    <col min="5" max="5" width="17.140625" bestFit="1" customWidth="1"/>
    <col min="6" max="6" width="19.5703125" bestFit="1" customWidth="1"/>
    <col min="7" max="7" width="13.42578125" bestFit="1" customWidth="1"/>
  </cols>
  <sheetData>
    <row r="1" spans="1:12" ht="21" x14ac:dyDescent="0.3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x14ac:dyDescent="0.35">
      <c r="A2" s="1"/>
      <c r="B2" s="1"/>
      <c r="C2" s="2" t="s">
        <v>5</v>
      </c>
      <c r="D2" s="3">
        <v>0</v>
      </c>
      <c r="E2" s="3">
        <v>0.1</v>
      </c>
      <c r="F2" s="3">
        <v>0.2</v>
      </c>
      <c r="G2" s="3">
        <v>0.3</v>
      </c>
      <c r="H2" s="1"/>
      <c r="I2" s="1"/>
      <c r="J2" s="1"/>
      <c r="K2" s="1"/>
      <c r="L2" s="1"/>
    </row>
    <row r="3" spans="1:12" ht="21" x14ac:dyDescent="0.35">
      <c r="A3" s="1"/>
      <c r="B3" s="1"/>
      <c r="C3" s="2" t="s">
        <v>6</v>
      </c>
      <c r="D3" s="4">
        <v>250000</v>
      </c>
      <c r="E3" s="4">
        <v>500000</v>
      </c>
      <c r="F3" s="4">
        <v>1000000</v>
      </c>
      <c r="G3" s="4" t="s">
        <v>4</v>
      </c>
      <c r="H3" s="1"/>
      <c r="I3" s="1"/>
      <c r="J3" s="1"/>
      <c r="K3" s="1"/>
      <c r="L3" s="1"/>
    </row>
    <row r="4" spans="1:12" ht="21" x14ac:dyDescent="0.35">
      <c r="A4" s="1"/>
      <c r="B4" s="1"/>
      <c r="C4" s="1"/>
      <c r="D4" s="5"/>
      <c r="E4" s="5"/>
      <c r="F4" s="5"/>
      <c r="G4" s="5"/>
      <c r="H4" s="1"/>
      <c r="I4" s="1"/>
      <c r="J4" s="1"/>
      <c r="K4" s="1"/>
      <c r="L4" s="1"/>
    </row>
    <row r="5" spans="1:12" ht="21" x14ac:dyDescent="0.35">
      <c r="A5" s="2"/>
      <c r="B5" s="2" t="s">
        <v>8</v>
      </c>
      <c r="C5" s="2" t="s">
        <v>9</v>
      </c>
      <c r="D5" s="4"/>
      <c r="E5" s="5"/>
      <c r="F5" s="5"/>
      <c r="G5" s="5"/>
      <c r="H5" s="1"/>
      <c r="I5" s="1"/>
      <c r="J5" s="1"/>
      <c r="K5" s="1"/>
      <c r="L5" s="1"/>
    </row>
    <row r="6" spans="1:12" ht="21" x14ac:dyDescent="0.35">
      <c r="A6" s="2"/>
      <c r="B6" s="2" t="s">
        <v>7</v>
      </c>
      <c r="C6" s="6">
        <v>900000</v>
      </c>
      <c r="D6" s="2"/>
      <c r="E6" s="1"/>
      <c r="F6" s="1"/>
      <c r="G6" s="1"/>
      <c r="H6" s="1"/>
      <c r="I6" s="1"/>
      <c r="J6" s="1"/>
      <c r="K6" s="1"/>
      <c r="L6" s="1"/>
    </row>
    <row r="7" spans="1:12" ht="21" x14ac:dyDescent="0.35">
      <c r="A7" s="2"/>
      <c r="B7" s="2"/>
      <c r="C7" s="2"/>
      <c r="D7" s="2"/>
      <c r="E7" s="1"/>
      <c r="F7" s="1"/>
      <c r="G7" s="1"/>
      <c r="H7" s="1"/>
      <c r="I7" s="1"/>
      <c r="J7" s="1"/>
      <c r="K7" s="1"/>
      <c r="L7" s="1"/>
    </row>
    <row r="8" spans="1:12" ht="21" x14ac:dyDescent="0.35">
      <c r="A8" s="2"/>
      <c r="B8" s="2" t="s">
        <v>0</v>
      </c>
      <c r="C8" s="2" t="s">
        <v>1</v>
      </c>
      <c r="D8" s="2" t="s">
        <v>2</v>
      </c>
      <c r="E8" s="1"/>
      <c r="F8" s="1"/>
      <c r="G8" s="1"/>
      <c r="H8" s="1"/>
      <c r="I8" s="1"/>
      <c r="J8" s="1"/>
      <c r="K8" s="1"/>
      <c r="L8" s="1"/>
    </row>
    <row r="9" spans="1:12" ht="21" x14ac:dyDescent="0.35">
      <c r="A9" s="2"/>
      <c r="B9" s="4">
        <f>D3</f>
        <v>250000</v>
      </c>
      <c r="C9" s="3">
        <v>0</v>
      </c>
      <c r="D9" s="7">
        <f>C9*B9</f>
        <v>0</v>
      </c>
      <c r="E9" s="1"/>
      <c r="F9" s="1"/>
      <c r="G9" s="1"/>
      <c r="H9" s="1"/>
      <c r="I9" s="1"/>
      <c r="J9" s="1"/>
      <c r="K9" s="1"/>
      <c r="L9" s="1"/>
    </row>
    <row r="10" spans="1:12" ht="21" x14ac:dyDescent="0.35">
      <c r="A10" s="2"/>
      <c r="B10" s="4">
        <f>IF(C6&lt;=E3,C6-B9,E3-B9)*AND(C6&gt;D3)</f>
        <v>250000</v>
      </c>
      <c r="C10" s="3">
        <v>0.1</v>
      </c>
      <c r="D10" s="7">
        <f>C10*B10</f>
        <v>25000</v>
      </c>
      <c r="E10" s="1"/>
      <c r="F10" s="1"/>
      <c r="G10" s="1"/>
      <c r="H10" s="1"/>
      <c r="I10" s="1"/>
      <c r="J10" s="1"/>
      <c r="K10" s="1"/>
      <c r="L10" s="1"/>
    </row>
    <row r="11" spans="1:12" ht="21" x14ac:dyDescent="0.35">
      <c r="A11" s="2"/>
      <c r="B11" s="4">
        <f>IF(C6&lt;=F3,C6-(B10+B9),F3-(B10+B9))*AND(C6&gt;D3)</f>
        <v>400000</v>
      </c>
      <c r="C11" s="3">
        <v>0.2</v>
      </c>
      <c r="D11" s="7">
        <f>C11*B11</f>
        <v>80000</v>
      </c>
      <c r="E11" s="1"/>
      <c r="F11" s="1"/>
      <c r="G11" s="1"/>
      <c r="H11" s="1"/>
      <c r="I11" s="1"/>
      <c r="J11" s="1"/>
      <c r="K11" s="1"/>
      <c r="L11" s="1"/>
    </row>
    <row r="12" spans="1:12" ht="21" x14ac:dyDescent="0.35">
      <c r="A12" s="2"/>
      <c r="B12" s="4">
        <f>IF(C6&lt;=G3,C6-SUM(B9:B11),C6-SUM(B9:B11))*AND(C6&gt;D3)</f>
        <v>0</v>
      </c>
      <c r="C12" s="3">
        <v>0.3</v>
      </c>
      <c r="D12" s="7">
        <f>C12*B12</f>
        <v>0</v>
      </c>
      <c r="E12" s="1"/>
      <c r="F12" s="1"/>
      <c r="G12" s="1"/>
      <c r="H12" s="1"/>
      <c r="I12" s="1"/>
      <c r="J12" s="1"/>
      <c r="K12" s="1"/>
      <c r="L12" s="1"/>
    </row>
    <row r="13" spans="1:12" ht="21" x14ac:dyDescent="0.35">
      <c r="A13" s="2"/>
      <c r="B13" s="7">
        <f>SUM(B9:B12)</f>
        <v>900000</v>
      </c>
      <c r="C13" s="2"/>
      <c r="D13" s="8">
        <f>SUM(D9:D12)</f>
        <v>105000</v>
      </c>
      <c r="E13" s="1"/>
      <c r="F13" s="1"/>
      <c r="G13" s="1"/>
      <c r="H13" s="1"/>
      <c r="I13" s="1"/>
      <c r="J13" s="1"/>
      <c r="K13" s="1"/>
      <c r="L13" s="1"/>
    </row>
    <row r="14" spans="1:12" ht="21" x14ac:dyDescent="0.35">
      <c r="A14" s="2"/>
      <c r="B14" s="2"/>
      <c r="C14" s="2"/>
      <c r="D14" s="2"/>
      <c r="E14" s="1"/>
      <c r="F14" s="1"/>
      <c r="G14" s="1"/>
      <c r="H14" s="1"/>
      <c r="I14" s="1"/>
      <c r="J14" s="1"/>
      <c r="K14" s="1"/>
      <c r="L14" s="1"/>
    </row>
    <row r="15" spans="1:12" ht="2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54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 Johar</dc:creator>
  <cp:lastModifiedBy>Heman Johar</cp:lastModifiedBy>
  <cp:lastPrinted>2015-03-08T04:07:35Z</cp:lastPrinted>
  <dcterms:created xsi:type="dcterms:W3CDTF">2015-03-08T02:10:48Z</dcterms:created>
  <dcterms:modified xsi:type="dcterms:W3CDTF">2015-03-08T11:39:32Z</dcterms:modified>
</cp:coreProperties>
</file>